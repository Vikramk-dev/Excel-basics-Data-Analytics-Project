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A0C0579A-2348-427D-9A26-3873C9B5E93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 Table 1" sheetId="2" r:id="rId2"/>
    <sheet name="Pivot Table 2" sheetId="4" r:id="rId3"/>
    <sheet name="Pivot Table 3" sheetId="3" r:id="rId4"/>
  </sheets>
  <definedNames>
    <definedName name="_xlnm._FilterDatabase" localSheetId="0" hidden="1">Montgomery_Fleet_Equipment_Inve!$A$1:$C$50</definedName>
  </definedNames>
  <calcPr calcId="191028"/>
  <pivotCaches>
    <pivotCache cacheId="67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<sst xmlns="http://schemas.openxmlformats.org/spreadsheetml/2006/main" count="169" uniqueCount="38">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</sst>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33" borderId="11" xfId="0" applyFont="1" applyFill="1" applyBorder="1" applyAlignment="1">
      <alignment wrapText="1"/>
    </xf>
    <xf numFmtId="0" fontId="0" fillId="0" borderId="12" xfId="0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33.061814583336" createdVersion="8" refreshedVersion="8" minRefreshableVersion="3" recordCount="49" xr:uid="{4DCE2758-6CC3-4CD8-8178-7D857967AC7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F7A7C-9B3D-4F6F-9C64-58051DB286B2}" name="PivotTable1" cacheId="6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C1B3B-D5C2-4811-9115-DD9D4C2011C8}" name="PivotTable3" cacheId="6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F78EA-FA1E-4F90-A03B-97C649074B1B}" name="PivotTable2" cacheId="6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8F5F4-1388-4C02-8848-17E83BCE3FB2}" name="Table1" displayName="Table1" ref="A1:C50" totalsRowShown="0">
  <autoFilter ref="A1:C50" xr:uid="{ED98F5F4-1388-4C02-8848-17E83BCE3FB2}"/>
  <tableColumns count="3">
    <tableColumn id="1" xr3:uid="{6FF434D0-669A-4335-A15C-0FD02B0C8DE1}" name="Department"/>
    <tableColumn id="2" xr3:uid="{E654A732-B9E1-46F9-A848-4CCE86D76CBF}" name="Equipment Class"/>
    <tableColumn id="3" xr3:uid="{3EA910C0-BFF3-4C31-88E8-0FEB38A74D6F}" name="Equipment Coun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A58" sqref="A58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2" spans="1:3">
      <c r="A52" s="3"/>
      <c r="B52" s="2" t="s">
        <v>29</v>
      </c>
      <c r="C52" s="1">
        <f>SUM(Table1[Equipment Count])</f>
        <v>1582</v>
      </c>
    </row>
    <row r="53" spans="1:3">
      <c r="A53" s="3"/>
      <c r="B53" s="2" t="s">
        <v>30</v>
      </c>
      <c r="C53" s="1">
        <f>AVERAGE(Table1[Equipment Count])</f>
        <v>32.285714285714285</v>
      </c>
    </row>
    <row r="54" spans="1:3">
      <c r="A54" s="3"/>
      <c r="B54" s="2" t="s">
        <v>31</v>
      </c>
      <c r="C54" s="1">
        <f>MIN(C2:C50)</f>
        <v>1</v>
      </c>
    </row>
    <row r="55" spans="1:3">
      <c r="A55" s="3"/>
      <c r="B55" s="2" t="s">
        <v>32</v>
      </c>
      <c r="C55" s="1">
        <f>MAX(C2:C50)</f>
        <v>379</v>
      </c>
    </row>
    <row r="56" spans="1:3">
      <c r="A56" s="3"/>
      <c r="B56" s="2" t="s">
        <v>33</v>
      </c>
      <c r="C56" s="1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5227-A5A3-4EA3-B158-CC3341D1737A}">
  <dimension ref="A3:B16"/>
  <sheetViews>
    <sheetView workbookViewId="0">
      <selection activeCell="A20" sqref="A20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4" t="s">
        <v>0</v>
      </c>
      <c r="B3" t="s">
        <v>34</v>
      </c>
    </row>
    <row r="4" spans="1:2">
      <c r="A4" t="s">
        <v>27</v>
      </c>
      <c r="B4" s="5">
        <v>1221</v>
      </c>
    </row>
    <row r="5" spans="1:2">
      <c r="A5" t="s">
        <v>14</v>
      </c>
      <c r="B5" s="5">
        <v>109</v>
      </c>
    </row>
    <row r="6" spans="1:2">
      <c r="A6" t="s">
        <v>19</v>
      </c>
      <c r="B6" s="5">
        <v>85</v>
      </c>
    </row>
    <row r="7" spans="1:2">
      <c r="A7" t="s">
        <v>11</v>
      </c>
      <c r="B7" s="5">
        <v>56</v>
      </c>
    </row>
    <row r="8" spans="1:2">
      <c r="A8" t="s">
        <v>3</v>
      </c>
      <c r="B8" s="5">
        <v>45</v>
      </c>
    </row>
    <row r="9" spans="1:2">
      <c r="A9" t="s">
        <v>17</v>
      </c>
      <c r="B9" s="5">
        <v>35</v>
      </c>
    </row>
    <row r="10" spans="1:2">
      <c r="A10" t="s">
        <v>26</v>
      </c>
      <c r="B10" s="5">
        <v>16</v>
      </c>
    </row>
    <row r="11" spans="1:2">
      <c r="A11" t="s">
        <v>8</v>
      </c>
      <c r="B11" s="5">
        <v>6</v>
      </c>
    </row>
    <row r="12" spans="1:2">
      <c r="A12" t="s">
        <v>25</v>
      </c>
      <c r="B12" s="5">
        <v>5</v>
      </c>
    </row>
    <row r="13" spans="1:2">
      <c r="A13" t="s">
        <v>7</v>
      </c>
      <c r="B13" s="5">
        <v>2</v>
      </c>
    </row>
    <row r="14" spans="1:2">
      <c r="A14" t="s">
        <v>13</v>
      </c>
      <c r="B14" s="5">
        <v>1</v>
      </c>
    </row>
    <row r="15" spans="1:2">
      <c r="A15" t="s">
        <v>16</v>
      </c>
      <c r="B15" s="5">
        <v>1</v>
      </c>
    </row>
    <row r="16" spans="1:2">
      <c r="A16" t="s">
        <v>35</v>
      </c>
      <c r="B16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58A1-6258-4B1C-BCEB-6EC94E56EB24}">
  <dimension ref="A3:C25"/>
  <sheetViews>
    <sheetView workbookViewId="0">
      <selection activeCell="A3" sqref="A3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4" t="s">
        <v>0</v>
      </c>
      <c r="B3" s="4" t="s">
        <v>1</v>
      </c>
      <c r="C3" t="s">
        <v>34</v>
      </c>
    </row>
    <row r="4" spans="1:3">
      <c r="A4" t="s">
        <v>27</v>
      </c>
      <c r="B4" t="s">
        <v>15</v>
      </c>
      <c r="C4" s="5">
        <v>5</v>
      </c>
    </row>
    <row r="5" spans="1:3">
      <c r="B5" t="s">
        <v>12</v>
      </c>
      <c r="C5" s="5">
        <v>248</v>
      </c>
    </row>
    <row r="6" spans="1:3">
      <c r="B6" t="s">
        <v>10</v>
      </c>
      <c r="C6" s="5">
        <v>98</v>
      </c>
    </row>
    <row r="7" spans="1:3">
      <c r="B7" t="s">
        <v>18</v>
      </c>
      <c r="C7" s="5">
        <v>276</v>
      </c>
    </row>
    <row r="8" spans="1:3">
      <c r="B8" t="s">
        <v>4</v>
      </c>
      <c r="C8" s="5">
        <v>93</v>
      </c>
    </row>
    <row r="9" spans="1:3">
      <c r="B9" t="s">
        <v>6</v>
      </c>
      <c r="C9" s="5">
        <v>37</v>
      </c>
    </row>
    <row r="10" spans="1:3">
      <c r="B10" t="s">
        <v>5</v>
      </c>
      <c r="C10" s="5">
        <v>53</v>
      </c>
    </row>
    <row r="11" spans="1:3">
      <c r="B11" t="s">
        <v>28</v>
      </c>
      <c r="C11" s="5">
        <v>379</v>
      </c>
    </row>
    <row r="12" spans="1:3">
      <c r="B12" t="s">
        <v>9</v>
      </c>
      <c r="C12" s="5">
        <v>32</v>
      </c>
    </row>
    <row r="13" spans="1:3">
      <c r="A13" t="s">
        <v>36</v>
      </c>
      <c r="C13" s="5">
        <v>1221</v>
      </c>
    </row>
    <row r="14" spans="1:3">
      <c r="A14" t="s">
        <v>14</v>
      </c>
      <c r="C14" s="5">
        <v>109</v>
      </c>
    </row>
    <row r="15" spans="1:3">
      <c r="A15" t="s">
        <v>19</v>
      </c>
      <c r="C15" s="5">
        <v>85</v>
      </c>
    </row>
    <row r="16" spans="1:3">
      <c r="A16" t="s">
        <v>11</v>
      </c>
      <c r="C16" s="5">
        <v>56</v>
      </c>
    </row>
    <row r="17" spans="1:3">
      <c r="A17" t="s">
        <v>3</v>
      </c>
      <c r="C17" s="5">
        <v>45</v>
      </c>
    </row>
    <row r="18" spans="1:3">
      <c r="A18" t="s">
        <v>17</v>
      </c>
      <c r="C18" s="5">
        <v>35</v>
      </c>
    </row>
    <row r="19" spans="1:3">
      <c r="A19" t="s">
        <v>26</v>
      </c>
      <c r="C19" s="5">
        <v>16</v>
      </c>
    </row>
    <row r="20" spans="1:3">
      <c r="A20" t="s">
        <v>8</v>
      </c>
      <c r="C20" s="5">
        <v>6</v>
      </c>
    </row>
    <row r="21" spans="1:3">
      <c r="A21" t="s">
        <v>25</v>
      </c>
      <c r="C21" s="5">
        <v>5</v>
      </c>
    </row>
    <row r="22" spans="1:3">
      <c r="A22" t="s">
        <v>7</v>
      </c>
      <c r="C22" s="5">
        <v>2</v>
      </c>
    </row>
    <row r="23" spans="1:3">
      <c r="A23" t="s">
        <v>13</v>
      </c>
      <c r="C23" s="5">
        <v>1</v>
      </c>
    </row>
    <row r="24" spans="1:3">
      <c r="A24" t="s">
        <v>16</v>
      </c>
      <c r="C24" s="5">
        <v>1</v>
      </c>
    </row>
    <row r="25" spans="1:3">
      <c r="A25" t="s">
        <v>35</v>
      </c>
      <c r="C25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64F6-1EC9-44CB-9D07-59BE3432BF4B}">
  <dimension ref="A3:C21"/>
  <sheetViews>
    <sheetView tabSelected="1" workbookViewId="0">
      <selection activeCell="A3" sqref="A3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4" t="s">
        <v>1</v>
      </c>
      <c r="B3" s="4" t="s">
        <v>0</v>
      </c>
      <c r="C3" t="s">
        <v>34</v>
      </c>
    </row>
    <row r="4" spans="1:3">
      <c r="A4" t="s">
        <v>15</v>
      </c>
      <c r="B4" t="s">
        <v>14</v>
      </c>
      <c r="C4" s="5">
        <v>9</v>
      </c>
    </row>
    <row r="5" spans="1:3">
      <c r="B5" t="s">
        <v>27</v>
      </c>
      <c r="C5" s="5">
        <v>5</v>
      </c>
    </row>
    <row r="6" spans="1:3">
      <c r="B6" t="s">
        <v>26</v>
      </c>
      <c r="C6" s="5">
        <v>1</v>
      </c>
    </row>
    <row r="7" spans="1:3">
      <c r="A7" t="s">
        <v>37</v>
      </c>
      <c r="C7" s="5">
        <v>15</v>
      </c>
    </row>
    <row r="8" spans="1:3">
      <c r="A8" t="s">
        <v>12</v>
      </c>
      <c r="C8" s="5">
        <v>290</v>
      </c>
    </row>
    <row r="9" spans="1:3">
      <c r="A9" t="s">
        <v>10</v>
      </c>
      <c r="C9" s="5">
        <v>100</v>
      </c>
    </row>
    <row r="10" spans="1:3">
      <c r="A10" t="s">
        <v>18</v>
      </c>
      <c r="C10" s="5">
        <v>283</v>
      </c>
    </row>
    <row r="11" spans="1:3">
      <c r="A11" t="s">
        <v>4</v>
      </c>
      <c r="C11" s="5">
        <v>150</v>
      </c>
    </row>
    <row r="12" spans="1:3">
      <c r="A12" t="s">
        <v>22</v>
      </c>
      <c r="C12" s="5">
        <v>4</v>
      </c>
    </row>
    <row r="13" spans="1:3">
      <c r="A13" t="s">
        <v>24</v>
      </c>
      <c r="C13" s="5">
        <v>1</v>
      </c>
    </row>
    <row r="14" spans="1:3">
      <c r="A14" t="s">
        <v>23</v>
      </c>
      <c r="C14" s="5">
        <v>47</v>
      </c>
    </row>
    <row r="15" spans="1:3">
      <c r="A15" t="s">
        <v>20</v>
      </c>
      <c r="C15" s="5">
        <v>20</v>
      </c>
    </row>
    <row r="16" spans="1:3">
      <c r="A16" t="s">
        <v>21</v>
      </c>
      <c r="C16" s="5">
        <v>8</v>
      </c>
    </row>
    <row r="17" spans="1:3">
      <c r="A17" t="s">
        <v>6</v>
      </c>
      <c r="C17" s="5">
        <v>130</v>
      </c>
    </row>
    <row r="18" spans="1:3">
      <c r="A18" t="s">
        <v>5</v>
      </c>
      <c r="C18" s="5">
        <v>90</v>
      </c>
    </row>
    <row r="19" spans="1:3">
      <c r="A19" t="s">
        <v>28</v>
      </c>
      <c r="C19" s="5">
        <v>379</v>
      </c>
    </row>
    <row r="20" spans="1:3">
      <c r="A20" t="s">
        <v>9</v>
      </c>
      <c r="C20" s="5">
        <v>65</v>
      </c>
    </row>
    <row r="21" spans="1:3">
      <c r="A21" t="s">
        <v>35</v>
      </c>
      <c r="C21" s="5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2025-06-24T20:13:26Z</dcterms:modified>
  <cp:category/>
  <cp:contentStatus/>
</cp:coreProperties>
</file>